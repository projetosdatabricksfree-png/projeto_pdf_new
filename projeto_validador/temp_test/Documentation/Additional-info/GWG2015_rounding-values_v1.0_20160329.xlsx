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dier\Dropbox (VIGC)\Documenten op SBS\Ghent PDF Workgroup\compliancy testing\GWG2015\GWG2015_test-files_v1.0_20160329\Documentation\Additional-info\"/>
    </mc:Choice>
  </mc:AlternateContent>
  <workbookProtection workbookAlgorithmName="SHA-512" workbookHashValue="EVJcz4pepn/AiEjGnkv4hxfwHEoCupnnxg39dHf//N3EYgjmozDcsMLqiwbMLHsK1QH6M6shH6Nujr1/mLnfJw==" workbookSaltValue="Zc9J0g/+Sc6OFt2HNum3Yg==" workbookSpinCount="100000" lockStructure="1"/>
  <bookViews>
    <workbookView xWindow="120" yWindow="105" windowWidth="21075" windowHeight="7485"/>
  </bookViews>
  <sheets>
    <sheet name="Blad1" sheetId="1" r:id="rId1"/>
    <sheet name="Blad2" sheetId="2" r:id="rId2"/>
    <sheet name="Blad3" sheetId="3" r:id="rId3"/>
  </sheets>
  <calcPr calcId="152511"/>
</workbook>
</file>

<file path=xl/calcChain.xml><?xml version="1.0" encoding="utf-8"?>
<calcChain xmlns="http://schemas.openxmlformats.org/spreadsheetml/2006/main">
  <c r="G9" i="1" l="1"/>
  <c r="H18" i="1" l="1"/>
  <c r="G11" i="1"/>
  <c r="F11" i="1"/>
  <c r="H11" i="1"/>
  <c r="I11" i="1"/>
  <c r="J11" i="1"/>
  <c r="K11" i="1"/>
  <c r="L11" i="1"/>
  <c r="L9" i="1"/>
  <c r="K9" i="1"/>
  <c r="J9" i="1"/>
  <c r="H9" i="1"/>
  <c r="I9" i="1"/>
  <c r="I8" i="1"/>
  <c r="L8" i="1"/>
  <c r="K8" i="1"/>
  <c r="J8" i="1"/>
  <c r="F8" i="1"/>
  <c r="G8" i="1"/>
  <c r="H8" i="1"/>
  <c r="F6" i="1"/>
  <c r="F7" i="1"/>
  <c r="F9" i="1"/>
  <c r="F10" i="1"/>
  <c r="F13" i="1"/>
  <c r="F14" i="1"/>
  <c r="F15" i="1"/>
  <c r="F16" i="1"/>
  <c r="F17" i="1"/>
  <c r="F18" i="1"/>
  <c r="H17" i="1"/>
  <c r="L18" i="1"/>
  <c r="K18" i="1"/>
  <c r="J18" i="1"/>
  <c r="I18" i="1"/>
  <c r="G18" i="1"/>
  <c r="L17" i="1"/>
  <c r="K17" i="1"/>
  <c r="J17" i="1"/>
  <c r="I17" i="1"/>
  <c r="G17" i="1"/>
  <c r="L7" i="1"/>
  <c r="K7" i="1"/>
  <c r="J7" i="1"/>
  <c r="I7" i="1"/>
  <c r="H7" i="1"/>
  <c r="G7" i="1"/>
  <c r="L6" i="1"/>
  <c r="K6" i="1"/>
  <c r="J6" i="1"/>
  <c r="I6" i="1"/>
  <c r="H6" i="1"/>
  <c r="G6" i="1"/>
  <c r="L10" i="1"/>
  <c r="K10" i="1"/>
  <c r="J10" i="1"/>
  <c r="I10" i="1"/>
  <c r="H10" i="1"/>
  <c r="G10" i="1"/>
  <c r="J13" i="1"/>
  <c r="L16" i="1"/>
  <c r="K16" i="1"/>
  <c r="J16" i="1"/>
  <c r="I16" i="1"/>
  <c r="H16" i="1"/>
  <c r="G16" i="1"/>
  <c r="L15" i="1"/>
  <c r="K15" i="1"/>
  <c r="J15" i="1"/>
  <c r="I15" i="1"/>
  <c r="H15" i="1"/>
  <c r="G15" i="1"/>
  <c r="L14" i="1"/>
  <c r="K14" i="1"/>
  <c r="J14" i="1"/>
  <c r="I14" i="1"/>
  <c r="H14" i="1"/>
  <c r="G14" i="1"/>
  <c r="G13" i="1"/>
  <c r="H13" i="1"/>
  <c r="L13" i="1"/>
  <c r="K13" i="1"/>
  <c r="I13" i="1"/>
</calcChain>
</file>

<file path=xl/sharedStrings.xml><?xml version="1.0" encoding="utf-8"?>
<sst xmlns="http://schemas.openxmlformats.org/spreadsheetml/2006/main" count="58" uniqueCount="41">
  <si>
    <t>MagAds</t>
  </si>
  <si>
    <t>Value</t>
  </si>
  <si>
    <t>Rule</t>
  </si>
  <si>
    <t>&lt;</t>
  </si>
  <si>
    <t>Object</t>
  </si>
  <si>
    <t>Digit</t>
  </si>
  <si>
    <t>&lt;=</t>
  </si>
  <si>
    <t>x-1</t>
  </si>
  <si>
    <t>x-0,6</t>
  </si>
  <si>
    <t>x-0,5</t>
  </si>
  <si>
    <t>x+0,4</t>
  </si>
  <si>
    <t>x+0,5</t>
  </si>
  <si>
    <t>x+1</t>
  </si>
  <si>
    <t>Small Text (2 or more)) (4.17)</t>
  </si>
  <si>
    <t>Chptr</t>
  </si>
  <si>
    <t>4.27</t>
  </si>
  <si>
    <t>4.28</t>
  </si>
  <si>
    <t>4.17</t>
  </si>
  <si>
    <t>Overprint 100% K text</t>
  </si>
  <si>
    <t>4.11</t>
  </si>
  <si>
    <t>Overprint 100% K text in Gray</t>
  </si>
  <si>
    <t>4.12</t>
  </si>
  <si>
    <t>4.13</t>
  </si>
  <si>
    <t>Overprint 100% K Line</t>
  </si>
  <si>
    <t>Overprint 100% K Line in Gray</t>
  </si>
  <si>
    <t>Effective Line width</t>
  </si>
  <si>
    <t>Single Image page, error</t>
  </si>
  <si>
    <t>Single Image page, warning</t>
  </si>
  <si>
    <t>Software limitation to only 3 digits, not 4 (= different values)</t>
  </si>
  <si>
    <t>NOK (preflight hit)</t>
  </si>
  <si>
    <t>OK (no preflight hit)</t>
  </si>
  <si>
    <t>Total Ink Area Coverage</t>
  </si>
  <si>
    <t>GWG2015 rounding values</t>
  </si>
  <si>
    <t>4.10</t>
  </si>
  <si>
    <t>4.16</t>
  </si>
  <si>
    <t>4.22</t>
  </si>
  <si>
    <t>Image resolution C&amp;G, error</t>
  </si>
  <si>
    <t>Image resolution C&amp;G, warning</t>
  </si>
  <si>
    <t>Image resolution 1bit, error</t>
  </si>
  <si>
    <t>Image resolution 1bit, warning</t>
  </si>
  <si>
    <t>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</si>
</sst>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"/>
    <numFmt numFmtId="166" formatCode="#,##0.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0" fontId="0" fillId="2" borderId="0" xfId="0" applyFill="1"/>
    <xf numFmtId="2" fontId="0" fillId="2" borderId="0" xfId="0" applyNumberFormat="1" applyFill="1" applyBorder="1"/>
    <xf numFmtId="164" fontId="0" fillId="2" borderId="0" xfId="0" applyNumberFormat="1" applyFill="1" applyBorder="1"/>
    <xf numFmtId="165" fontId="0" fillId="2" borderId="0" xfId="0" applyNumberFormat="1" applyFill="1" applyBorder="1"/>
  </cellXfs>
  <cellStyles count="1">
    <cellStyle name="Standaard" xfId="0" builtinId="0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85" zoomScaleNormal="85" workbookViewId="0">
      <selection activeCell="E14" sqref="E14"/>
    </sheetView>
  </sheetViews>
  <sheetFormatPr defaultRowHeight="14.25" x14ac:dyDescent="0.45"/>
  <cols>
    <col min="1" max="1" width="27.1328125" bestFit="1" customWidth="1"/>
    <col min="2" max="2" width="6.3984375" bestFit="1" customWidth="1"/>
    <col min="3" max="3" width="5" bestFit="1" customWidth="1"/>
    <col min="4" max="5" width="8.86328125" customWidth="1"/>
    <col min="6" max="12" width="11.1328125" customWidth="1"/>
  </cols>
  <sheetData>
    <row r="1" spans="1:13" ht="18" x14ac:dyDescent="0.55000000000000004">
      <c r="A1" s="1" t="s">
        <v>32</v>
      </c>
      <c r="B1" s="1"/>
    </row>
    <row r="3" spans="1:13" x14ac:dyDescent="0.45">
      <c r="A3" s="2" t="s">
        <v>0</v>
      </c>
      <c r="B3" s="2"/>
    </row>
    <row r="4" spans="1:13" x14ac:dyDescent="0.45">
      <c r="A4" s="2"/>
      <c r="B4" s="2"/>
    </row>
    <row r="5" spans="1:13" x14ac:dyDescent="0.45">
      <c r="A5" s="5" t="s">
        <v>4</v>
      </c>
      <c r="B5" s="4" t="s">
        <v>14</v>
      </c>
      <c r="C5" s="6" t="s">
        <v>2</v>
      </c>
      <c r="D5" s="6" t="s">
        <v>1</v>
      </c>
      <c r="E5" s="7" t="s">
        <v>5</v>
      </c>
      <c r="F5" s="17" t="s">
        <v>7</v>
      </c>
      <c r="G5" s="17" t="s">
        <v>8</v>
      </c>
      <c r="H5" s="17" t="s">
        <v>9</v>
      </c>
      <c r="I5" s="17" t="s">
        <v>1</v>
      </c>
      <c r="J5" s="17" t="s">
        <v>10</v>
      </c>
      <c r="K5" s="17" t="s">
        <v>11</v>
      </c>
      <c r="L5" s="17" t="s">
        <v>12</v>
      </c>
    </row>
    <row r="6" spans="1:13" x14ac:dyDescent="0.45">
      <c r="A6" s="3" t="s">
        <v>18</v>
      </c>
      <c r="B6" s="24" t="s">
        <v>33</v>
      </c>
      <c r="C6" s="11" t="s">
        <v>3</v>
      </c>
      <c r="D6" s="14">
        <v>12</v>
      </c>
      <c r="E6" s="15">
        <v>0.1</v>
      </c>
      <c r="F6" s="19">
        <f>$D6-E6</f>
        <v>11.9</v>
      </c>
      <c r="G6" s="21">
        <f>$D6-($E6/10*6)</f>
        <v>11.94</v>
      </c>
      <c r="H6" s="19">
        <f>$D6-($E6/10*5)</f>
        <v>11.95</v>
      </c>
      <c r="I6" s="19">
        <f t="shared" ref="I6" si="0">D6</f>
        <v>12</v>
      </c>
      <c r="J6" s="19">
        <f>$D6+($E6/10*4)</f>
        <v>12.04</v>
      </c>
      <c r="K6" s="19">
        <f>$D6+($E6/10*5)</f>
        <v>12.05</v>
      </c>
      <c r="L6" s="19">
        <f>$D6+E6</f>
        <v>12.1</v>
      </c>
    </row>
    <row r="7" spans="1:13" x14ac:dyDescent="0.45">
      <c r="A7" s="3" t="s">
        <v>20</v>
      </c>
      <c r="B7" s="24" t="s">
        <v>19</v>
      </c>
      <c r="C7" s="11" t="s">
        <v>3</v>
      </c>
      <c r="D7" s="14">
        <v>12</v>
      </c>
      <c r="E7" s="15">
        <v>0.1</v>
      </c>
      <c r="F7" s="19">
        <f>$D7-E7</f>
        <v>11.9</v>
      </c>
      <c r="G7" s="21">
        <f>$D7-($E7/10*6)</f>
        <v>11.94</v>
      </c>
      <c r="H7" s="19">
        <f>$D7-($E7/10*5)</f>
        <v>11.95</v>
      </c>
      <c r="I7" s="19">
        <f t="shared" ref="I7" si="1">D7</f>
        <v>12</v>
      </c>
      <c r="J7" s="19">
        <f>$D7+($E7/10*4)</f>
        <v>12.04</v>
      </c>
      <c r="K7" s="19">
        <f>$D7+($E7/10*5)</f>
        <v>12.05</v>
      </c>
      <c r="L7" s="19">
        <f>$D7+E7</f>
        <v>12.1</v>
      </c>
    </row>
    <row r="8" spans="1:13" x14ac:dyDescent="0.45">
      <c r="A8" s="3" t="s">
        <v>23</v>
      </c>
      <c r="B8" s="24" t="s">
        <v>21</v>
      </c>
      <c r="C8" s="11" t="s">
        <v>3</v>
      </c>
      <c r="D8" s="16">
        <v>2</v>
      </c>
      <c r="E8" s="12">
        <v>1E-3</v>
      </c>
      <c r="F8" s="20">
        <f>$D8-$E8*3</f>
        <v>1.9970000000000001</v>
      </c>
      <c r="G8" s="20">
        <f>$D8-$E8*2</f>
        <v>1.998</v>
      </c>
      <c r="H8" s="22">
        <f>$D8-$E8</f>
        <v>1.9990000000000001</v>
      </c>
      <c r="I8" s="20">
        <f>D8</f>
        <v>2</v>
      </c>
      <c r="J8" s="20">
        <f>$D8+$E8</f>
        <v>2.0009999999999999</v>
      </c>
      <c r="K8" s="20">
        <f>$D8+$E8*2</f>
        <v>2.0019999999999998</v>
      </c>
      <c r="L8" s="20">
        <f>$D8+$E8*3</f>
        <v>2.0030000000000001</v>
      </c>
      <c r="M8" t="s">
        <v>28</v>
      </c>
    </row>
    <row r="9" spans="1:13" x14ac:dyDescent="0.45">
      <c r="A9" s="3" t="s">
        <v>24</v>
      </c>
      <c r="B9" s="24" t="s">
        <v>22</v>
      </c>
      <c r="C9" s="11" t="s">
        <v>3</v>
      </c>
      <c r="D9" s="16">
        <v>2</v>
      </c>
      <c r="E9" s="12">
        <v>1E-3</v>
      </c>
      <c r="F9" s="20">
        <f>$D9-E9</f>
        <v>1.9990000000000001</v>
      </c>
      <c r="G9" s="20">
        <f>$D9-($E9/10*6)</f>
        <v>1.9994000000000001</v>
      </c>
      <c r="H9" s="22">
        <f>$D9-$E9</f>
        <v>1.9990000000000001</v>
      </c>
      <c r="I9" s="20">
        <f>D9</f>
        <v>2</v>
      </c>
      <c r="J9" s="20">
        <f>$D9+$E9</f>
        <v>2.0009999999999999</v>
      </c>
      <c r="K9" s="20">
        <f>$D9+$E9*2</f>
        <v>2.0019999999999998</v>
      </c>
      <c r="L9" s="20">
        <f>$D9+$E9*3</f>
        <v>2.0030000000000001</v>
      </c>
      <c r="M9" t="s">
        <v>28</v>
      </c>
    </row>
    <row r="10" spans="1:13" x14ac:dyDescent="0.45">
      <c r="A10" s="9" t="s">
        <v>13</v>
      </c>
      <c r="B10" s="25" t="s">
        <v>34</v>
      </c>
      <c r="C10" s="11" t="s">
        <v>3</v>
      </c>
      <c r="D10" s="14">
        <v>9</v>
      </c>
      <c r="E10" s="15">
        <v>0.1</v>
      </c>
      <c r="F10" s="19">
        <f t="shared" ref="F10" si="2">$D10-E10</f>
        <v>8.9</v>
      </c>
      <c r="G10" s="21">
        <f t="shared" ref="G10" si="3">$D10-($E10/10*6)</f>
        <v>8.94</v>
      </c>
      <c r="H10" s="19">
        <f t="shared" ref="H10" si="4">$D10-($E10/10*5)</f>
        <v>8.9499999999999993</v>
      </c>
      <c r="I10" s="19">
        <f t="shared" ref="I10" si="5">D10</f>
        <v>9</v>
      </c>
      <c r="J10" s="19">
        <f t="shared" ref="J10" si="6">$D10+($E10/10*4)</f>
        <v>9.0399999999999991</v>
      </c>
      <c r="K10" s="19">
        <f t="shared" ref="K10" si="7">$D10+($E10/10*5)</f>
        <v>9.0500000000000007</v>
      </c>
      <c r="L10" s="19">
        <f t="shared" ref="L10" si="8">$D10+E10</f>
        <v>9.1</v>
      </c>
    </row>
    <row r="11" spans="1:13" x14ac:dyDescent="0.45">
      <c r="A11" s="8" t="s">
        <v>25</v>
      </c>
      <c r="B11" s="26" t="s">
        <v>17</v>
      </c>
      <c r="C11" s="11" t="s">
        <v>3</v>
      </c>
      <c r="D11" s="13">
        <v>0.25</v>
      </c>
      <c r="E11" s="12">
        <v>1E-3</v>
      </c>
      <c r="F11" s="20">
        <f>$D11-$E11*3</f>
        <v>0.247</v>
      </c>
      <c r="G11" s="20">
        <f>$D11-$E11*2</f>
        <v>0.248</v>
      </c>
      <c r="H11" s="22">
        <f>$D11-$E11</f>
        <v>0.249</v>
      </c>
      <c r="I11" s="20">
        <f>D11</f>
        <v>0.25</v>
      </c>
      <c r="J11" s="20">
        <f>$D11+$E11</f>
        <v>0.251</v>
      </c>
      <c r="K11" s="20">
        <f>$D11+$E11*2</f>
        <v>0.252</v>
      </c>
      <c r="L11" s="20">
        <f>$D11+$E11*3</f>
        <v>0.253</v>
      </c>
      <c r="M11" t="s">
        <v>28</v>
      </c>
    </row>
    <row r="12" spans="1:13" ht="15.75" customHeight="1" x14ac:dyDescent="0.45">
      <c r="A12" s="10" t="s">
        <v>31</v>
      </c>
      <c r="B12" s="27" t="s">
        <v>35</v>
      </c>
      <c r="C12" s="11" t="s">
        <v>6</v>
      </c>
      <c r="D12" s="13">
        <v>305</v>
      </c>
      <c r="E12" s="12">
        <v>1</v>
      </c>
      <c r="F12" s="18">
        <v>304</v>
      </c>
      <c r="G12" s="18">
        <v>304.39999999999998</v>
      </c>
      <c r="H12" s="18">
        <v>304.5</v>
      </c>
      <c r="I12" s="18">
        <v>305</v>
      </c>
      <c r="J12" s="18">
        <v>305.39999999999998</v>
      </c>
      <c r="K12" s="18">
        <v>305.5</v>
      </c>
      <c r="L12" s="18">
        <v>306</v>
      </c>
    </row>
    <row r="13" spans="1:13" x14ac:dyDescent="0.45">
      <c r="A13" s="10" t="s">
        <v>36</v>
      </c>
      <c r="B13" s="27" t="s">
        <v>40</v>
      </c>
      <c r="C13" s="11" t="s">
        <v>6</v>
      </c>
      <c r="D13" s="13">
        <v>149</v>
      </c>
      <c r="E13" s="12">
        <v>1</v>
      </c>
      <c r="F13" s="18">
        <f t="shared" ref="F13:F18" si="9">$D13-E13</f>
        <v>148</v>
      </c>
      <c r="G13" s="18">
        <f t="shared" ref="G13:G18" si="10">$D13-($E13/10*6)</f>
        <v>148.4</v>
      </c>
      <c r="H13" s="18">
        <f t="shared" ref="H13:H18" si="11">$D13-($E13/10*5)</f>
        <v>148.5</v>
      </c>
      <c r="I13" s="18">
        <f t="shared" ref="I13:I18" si="12">D13</f>
        <v>149</v>
      </c>
      <c r="J13" s="23">
        <f t="shared" ref="J13:J18" si="13">$D13+($E13/10*4)</f>
        <v>149.4</v>
      </c>
      <c r="K13" s="18">
        <f t="shared" ref="K13:K18" si="14">$D13+($E13/10*5)</f>
        <v>149.5</v>
      </c>
      <c r="L13" s="18">
        <f t="shared" ref="L13:L18" si="15">$D13+E13</f>
        <v>150</v>
      </c>
    </row>
    <row r="14" spans="1:13" x14ac:dyDescent="0.45">
      <c r="A14" s="10" t="s">
        <v>37</v>
      </c>
      <c r="B14" s="27" t="s">
        <v>40</v>
      </c>
      <c r="C14" s="11" t="s">
        <v>6</v>
      </c>
      <c r="D14" s="13">
        <v>224</v>
      </c>
      <c r="E14" s="12">
        <v>1</v>
      </c>
      <c r="F14" s="18">
        <f t="shared" si="9"/>
        <v>223</v>
      </c>
      <c r="G14" s="18">
        <f t="shared" si="10"/>
        <v>223.4</v>
      </c>
      <c r="H14" s="18">
        <f t="shared" si="11"/>
        <v>223.5</v>
      </c>
      <c r="I14" s="18">
        <f t="shared" si="12"/>
        <v>224</v>
      </c>
      <c r="J14" s="23">
        <f t="shared" si="13"/>
        <v>224.4</v>
      </c>
      <c r="K14" s="18">
        <f t="shared" si="14"/>
        <v>224.5</v>
      </c>
      <c r="L14" s="18">
        <f t="shared" si="15"/>
        <v>225</v>
      </c>
    </row>
    <row r="15" spans="1:13" x14ac:dyDescent="0.45">
      <c r="A15" s="10" t="s">
        <v>38</v>
      </c>
      <c r="B15" s="27" t="s">
        <v>15</v>
      </c>
      <c r="C15" s="11" t="s">
        <v>6</v>
      </c>
      <c r="D15" s="13">
        <v>549</v>
      </c>
      <c r="E15" s="12">
        <v>1</v>
      </c>
      <c r="F15" s="18">
        <f t="shared" si="9"/>
        <v>548</v>
      </c>
      <c r="G15" s="18">
        <f t="shared" si="10"/>
        <v>548.4</v>
      </c>
      <c r="H15" s="18">
        <f t="shared" si="11"/>
        <v>548.5</v>
      </c>
      <c r="I15" s="18">
        <f t="shared" si="12"/>
        <v>549</v>
      </c>
      <c r="J15" s="23">
        <f t="shared" si="13"/>
        <v>549.4</v>
      </c>
      <c r="K15" s="18">
        <f t="shared" si="14"/>
        <v>549.5</v>
      </c>
      <c r="L15" s="18">
        <f t="shared" si="15"/>
        <v>550</v>
      </c>
    </row>
    <row r="16" spans="1:13" x14ac:dyDescent="0.45">
      <c r="A16" s="10" t="s">
        <v>39</v>
      </c>
      <c r="B16" s="27" t="s">
        <v>15</v>
      </c>
      <c r="C16" s="11" t="s">
        <v>6</v>
      </c>
      <c r="D16" s="13">
        <v>799</v>
      </c>
      <c r="E16" s="12">
        <v>1</v>
      </c>
      <c r="F16" s="18">
        <f t="shared" si="9"/>
        <v>798</v>
      </c>
      <c r="G16" s="18">
        <f t="shared" si="10"/>
        <v>798.4</v>
      </c>
      <c r="H16" s="18">
        <f t="shared" si="11"/>
        <v>798.5</v>
      </c>
      <c r="I16" s="18">
        <f t="shared" si="12"/>
        <v>799</v>
      </c>
      <c r="J16" s="23">
        <f t="shared" si="13"/>
        <v>799.4</v>
      </c>
      <c r="K16" s="18">
        <f t="shared" si="14"/>
        <v>799.5</v>
      </c>
      <c r="L16" s="18">
        <f t="shared" si="15"/>
        <v>800</v>
      </c>
    </row>
    <row r="17" spans="1:12" x14ac:dyDescent="0.45">
      <c r="A17" s="10" t="s">
        <v>26</v>
      </c>
      <c r="B17" s="27" t="s">
        <v>16</v>
      </c>
      <c r="C17" s="11" t="s">
        <v>3</v>
      </c>
      <c r="D17" s="13">
        <v>149</v>
      </c>
      <c r="E17" s="12">
        <v>1</v>
      </c>
      <c r="F17" s="18">
        <f t="shared" si="9"/>
        <v>148</v>
      </c>
      <c r="G17" s="23">
        <f t="shared" si="10"/>
        <v>148.4</v>
      </c>
      <c r="H17" s="18">
        <f t="shared" si="11"/>
        <v>148.5</v>
      </c>
      <c r="I17" s="18">
        <f t="shared" si="12"/>
        <v>149</v>
      </c>
      <c r="J17" s="18">
        <f t="shared" si="13"/>
        <v>149.4</v>
      </c>
      <c r="K17" s="18">
        <f t="shared" si="14"/>
        <v>149.5</v>
      </c>
      <c r="L17" s="18">
        <f t="shared" si="15"/>
        <v>150</v>
      </c>
    </row>
    <row r="18" spans="1:12" x14ac:dyDescent="0.45">
      <c r="A18" s="10" t="s">
        <v>27</v>
      </c>
      <c r="B18" s="27" t="s">
        <v>16</v>
      </c>
      <c r="C18" s="11" t="s">
        <v>3</v>
      </c>
      <c r="D18" s="13">
        <v>450</v>
      </c>
      <c r="E18" s="12">
        <v>1</v>
      </c>
      <c r="F18" s="18">
        <f t="shared" si="9"/>
        <v>449</v>
      </c>
      <c r="G18" s="18">
        <f t="shared" si="10"/>
        <v>449.4</v>
      </c>
      <c r="H18" s="23">
        <f t="shared" si="11"/>
        <v>449.5</v>
      </c>
      <c r="I18" s="18">
        <f t="shared" si="12"/>
        <v>450</v>
      </c>
      <c r="J18" s="18">
        <f t="shared" si="13"/>
        <v>450.4</v>
      </c>
      <c r="K18" s="18">
        <f t="shared" si="14"/>
        <v>450.5</v>
      </c>
      <c r="L18" s="18">
        <f t="shared" si="15"/>
        <v>451</v>
      </c>
    </row>
    <row r="20" spans="1:12" x14ac:dyDescent="0.45">
      <c r="A20" t="s">
        <v>29</v>
      </c>
    </row>
    <row r="21" spans="1:12" x14ac:dyDescent="0.45">
      <c r="A21" t="s">
        <v>30</v>
      </c>
    </row>
  </sheetData>
  <conditionalFormatting sqref="F13:L16">
    <cfRule type="cellIs" dxfId="18" priority="50" operator="greaterThan">
      <formula>$D13+($E13/10*4)</formula>
    </cfRule>
    <cfRule type="cellIs" dxfId="17" priority="51" operator="lessThanOrEqual">
      <formula>$D13+($E13/10*4)</formula>
    </cfRule>
  </conditionalFormatting>
  <conditionalFormatting sqref="B17 A20">
    <cfRule type="containsText" dxfId="16" priority="57" operator="containsText" text="NOK (error or warning)">
      <formula>NOT(ISERROR(SEARCH("NOK (error or warning)",A17)))</formula>
    </cfRule>
  </conditionalFormatting>
  <conditionalFormatting sqref="B18 A21">
    <cfRule type="containsText" dxfId="15" priority="56" operator="containsText" text="OK (NO error or warning)">
      <formula>NOT(ISERROR(SEARCH("OK (NO error or warning)",A18)))</formula>
    </cfRule>
  </conditionalFormatting>
  <conditionalFormatting sqref="F6:L11">
    <cfRule type="cellIs" dxfId="14" priority="54" operator="greaterThan">
      <formula>$D6-($E6/10*6)</formula>
    </cfRule>
    <cfRule type="cellIs" dxfId="13" priority="55" operator="lessThanOrEqual">
      <formula>$D6-($E6/10*6)</formula>
    </cfRule>
  </conditionalFormatting>
  <conditionalFormatting sqref="B18">
    <cfRule type="containsText" dxfId="12" priority="15" operator="containsText" text="NOK (error or warning)">
      <formula>NOT(ISERROR(SEARCH("NOK (error or warning)",B18)))</formula>
    </cfRule>
  </conditionalFormatting>
  <conditionalFormatting sqref="F17:L17">
    <cfRule type="cellIs" dxfId="11" priority="13" operator="greaterThanOrEqual">
      <formula>$D17-($E17/10*5)</formula>
    </cfRule>
    <cfRule type="cellIs" dxfId="10" priority="14" operator="lessThan">
      <formula>$D17</formula>
    </cfRule>
  </conditionalFormatting>
  <conditionalFormatting sqref="F18:L18">
    <cfRule type="cellIs" dxfId="9" priority="11" operator="greaterThanOrEqual">
      <formula>$D$17</formula>
    </cfRule>
    <cfRule type="cellIs" dxfId="8" priority="12" operator="lessThan">
      <formula>$D$17</formula>
    </cfRule>
  </conditionalFormatting>
  <conditionalFormatting sqref="F18:L18">
    <cfRule type="cellIs" dxfId="7" priority="7" operator="greaterThanOrEqual">
      <formula>$D18</formula>
    </cfRule>
    <cfRule type="cellIs" dxfId="6" priority="8" operator="lessThan">
      <formula>$D18-($E18/10*5)</formula>
    </cfRule>
  </conditionalFormatting>
  <conditionalFormatting sqref="B12">
    <cfRule type="containsText" dxfId="5" priority="6" operator="containsText" text="OK (NO error or warning)">
      <formula>NOT(ISERROR(SEARCH("OK (NO error or warning)",B12)))</formula>
    </cfRule>
  </conditionalFormatting>
  <conditionalFormatting sqref="B12">
    <cfRule type="containsText" dxfId="4" priority="5" operator="containsText" text="NOK (error or warning)">
      <formula>NOT(ISERROR(SEARCH("NOK (error or warning)",B12)))</formula>
    </cfRule>
  </conditionalFormatting>
  <conditionalFormatting sqref="I12:L12">
    <cfRule type="cellIs" dxfId="3" priority="3" operator="greaterThan">
      <formula>$D12+($E12/10*4)</formula>
    </cfRule>
    <cfRule type="cellIs" dxfId="2" priority="4" operator="lessThanOrEqual">
      <formula>$D12+($E12/10*4)</formula>
    </cfRule>
  </conditionalFormatting>
  <conditionalFormatting sqref="F12:H12">
    <cfRule type="cellIs" dxfId="1" priority="1" operator="greaterThan">
      <formula>$D12+($E12/10*4)</formula>
    </cfRule>
    <cfRule type="cellIs" dxfId="0" priority="2" operator="lessThanOrEqual">
      <formula>$D12+($E12/10*4)</formula>
    </cfRule>
  </conditionalFormatting>
  <pageMargins left="0.25" right="0.25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Haazen</cp:lastModifiedBy>
  <dcterms:created xsi:type="dcterms:W3CDTF">2012-05-25T07:32:26Z</dcterms:created>
  <dcterms:modified xsi:type="dcterms:W3CDTF">2016-03-29T19:07:28Z</dcterms:modified>
  <cp:contentStatus/>
</cp:coreProperties>
</file>